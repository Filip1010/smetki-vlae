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Z_134D47BF_0898_4070_9204_A3BD4F99F7B9_.wvu.FilterData">Sheet1!$I$7</definedName>
  </definedNames>
  <calcPr/>
  <customWorkbookViews>
    <customWorkbookView activeSheetId="0" maximized="1" windowHeight="0" windowWidth="0" guid="{134D47BF-0898-4070-9204-A3BD4F99F7B9}" name="Filter 1"/>
  </customWorkbookViews>
</workbook>
</file>

<file path=xl/sharedStrings.xml><?xml version="1.0" encoding="utf-8"?>
<sst xmlns="http://schemas.openxmlformats.org/spreadsheetml/2006/main" count="89" uniqueCount="21">
  <si>
    <r>
      <rPr>
        <rFont val="Arial"/>
        <b/>
        <color rgb="FF000000"/>
        <sz val="9.0"/>
      </rPr>
      <t xml:space="preserve">                                                            </t>
    </r>
    <r>
      <rPr>
        <rFont val="Arial"/>
        <b/>
        <color rgb="FF000000"/>
        <sz val="9.0"/>
      </rPr>
      <t xml:space="preserve">СМЕТКИ - СТАН ВЛАЕ ( Кузманоски Филип )  </t>
    </r>
  </si>
  <si>
    <t>ВКУПНО</t>
  </si>
  <si>
    <t>Платено</t>
  </si>
  <si>
    <t>Месец</t>
  </si>
  <si>
    <t>Цена</t>
  </si>
  <si>
    <t xml:space="preserve">Виртус Елиас </t>
  </si>
  <si>
    <t>ЕВН</t>
  </si>
  <si>
    <t>Водовод</t>
  </si>
  <si>
    <t>Интернет и Тв</t>
  </si>
  <si>
    <t>Вкупно</t>
  </si>
  <si>
    <t>да</t>
  </si>
  <si>
    <t>669,00</t>
  </si>
  <si>
    <t>634,00</t>
  </si>
  <si>
    <t>1.004,00</t>
  </si>
  <si>
    <t>976,00</t>
  </si>
  <si>
    <t>778,00</t>
  </si>
  <si>
    <t>703,00</t>
  </si>
  <si>
    <t>657,00</t>
  </si>
  <si>
    <t>780,00</t>
  </si>
  <si>
    <t>966,00</t>
  </si>
  <si>
    <t>1.098,00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</si>
</sst>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/MM/yyyy"/>
  </numFmts>
  <fonts count="12">
    <font>
      <sz val="10.0"/>
      <color rgb="FF000000"/>
      <name val="Arial"/>
      <scheme val="minor"/>
    </font>
    <font>
      <sz val="9.0"/>
      <color rgb="FF000000"/>
      <name val="Arial"/>
      <scheme val="minor"/>
    </font>
    <font>
      <b/>
      <sz val="9.0"/>
      <color rgb="FF000000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  <font>
      <b/>
      <sz val="9.0"/>
      <color theme="1"/>
      <name val="Arial"/>
      <scheme val="minor"/>
    </font>
    <font>
      <sz val="10.0"/>
      <color theme="1"/>
      <name val="Arial"/>
      <scheme val="minor"/>
    </font>
    <font/>
    <font>
      <sz val="9.0"/>
      <color theme="1"/>
      <name val="Arial"/>
      <scheme val="minor"/>
    </font>
    <font>
      <b/>
      <sz val="9.0"/>
      <color rgb="FF000000"/>
      <name val="Arial"/>
    </font>
    <font>
      <sz val="11.0"/>
      <color theme="1"/>
      <name val="Arial"/>
      <scheme val="minor"/>
    </font>
    <font>
      <sz val="16.0"/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00FF00"/>
        <bgColor rgb="FF00FF00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horizontal="center" readingOrder="0"/>
    </xf>
    <xf borderId="0" fillId="3" fontId="0" numFmtId="0" xfId="0" applyAlignment="1" applyFont="1">
      <alignment readingOrder="0"/>
    </xf>
    <xf borderId="0" fillId="3" fontId="3" numFmtId="0" xfId="0" applyAlignment="1" applyFont="1">
      <alignment readingOrder="0"/>
    </xf>
    <xf borderId="0" fillId="3" fontId="4" numFmtId="0" xfId="0" applyFont="1"/>
    <xf borderId="1" fillId="4" fontId="5" numFmtId="0" xfId="0" applyAlignment="1" applyBorder="1" applyFill="1" applyFont="1">
      <alignment readingOrder="0"/>
    </xf>
    <xf borderId="0" fillId="3" fontId="5" numFmtId="0" xfId="0" applyAlignment="1" applyFont="1">
      <alignment horizontal="center" readingOrder="0" textRotation="0"/>
    </xf>
    <xf borderId="0" fillId="3" fontId="6" numFmtId="0" xfId="0" applyAlignment="1" applyFont="1">
      <alignment horizontal="center" readingOrder="0" textRotation="0"/>
    </xf>
    <xf borderId="2" fillId="0" fontId="7" numFmtId="0" xfId="0" applyBorder="1" applyFont="1"/>
    <xf borderId="3" fillId="5" fontId="5" numFmtId="0" xfId="0" applyAlignment="1" applyBorder="1" applyFill="1" applyFont="1">
      <alignment readingOrder="0"/>
    </xf>
    <xf borderId="3" fillId="6" fontId="5" numFmtId="164" xfId="0" applyAlignment="1" applyBorder="1" applyFill="1" applyFont="1" applyNumberFormat="1">
      <alignment horizontal="center" readingOrder="0"/>
    </xf>
    <xf borderId="3" fillId="6" fontId="8" numFmtId="0" xfId="0" applyAlignment="1" applyBorder="1" applyFont="1">
      <alignment readingOrder="0"/>
    </xf>
    <xf borderId="3" fillId="5" fontId="9" numFmtId="0" xfId="0" applyAlignment="1" applyBorder="1" applyFont="1">
      <alignment horizontal="left" readingOrder="0"/>
    </xf>
    <xf borderId="0" fillId="0" fontId="8" numFmtId="0" xfId="0" applyAlignment="1" applyFont="1">
      <alignment horizontal="left" readingOrder="0"/>
    </xf>
    <xf borderId="0" fillId="0" fontId="6" numFmtId="0" xfId="0" applyAlignment="1" applyFont="1">
      <alignment horizontal="left" readingOrder="0"/>
    </xf>
    <xf borderId="0" fillId="0" fontId="8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6" numFmtId="0" xfId="0" applyFont="1"/>
    <xf borderId="0" fillId="0" fontId="8" numFmtId="0" xfId="0" applyFont="1"/>
    <xf borderId="3" fillId="5" fontId="2" numFmtId="0" xfId="0" applyAlignment="1" applyBorder="1" applyFont="1">
      <alignment readingOrder="0"/>
    </xf>
    <xf borderId="3" fillId="5" fontId="5" numFmtId="0" xfId="0" applyBorder="1" applyFont="1"/>
    <xf borderId="0" fillId="0" fontId="6" numFmtId="165" xfId="0" applyFont="1" applyNumberFormat="1"/>
    <xf borderId="4" fillId="4" fontId="8" numFmtId="0" xfId="0" applyBorder="1" applyFont="1"/>
    <xf borderId="3" fillId="7" fontId="5" numFmtId="0" xfId="0" applyAlignment="1" applyBorder="1" applyFill="1" applyFont="1">
      <alignment readingOrder="0"/>
    </xf>
    <xf borderId="3" fillId="5" fontId="8" numFmtId="0" xfId="0" applyAlignment="1" applyBorder="1" applyFont="1">
      <alignment readingOrder="0"/>
    </xf>
    <xf borderId="3" fillId="6" fontId="8" numFmtId="0" xfId="0" applyBorder="1" applyFont="1"/>
    <xf borderId="3" fillId="6" fontId="5" numFmtId="14" xfId="0" applyAlignment="1" applyBorder="1" applyFont="1" applyNumberFormat="1">
      <alignment horizontal="center"/>
    </xf>
    <xf borderId="3" fillId="8" fontId="5" numFmtId="14" xfId="0" applyAlignment="1" applyBorder="1" applyFill="1" applyFont="1" applyNumberFormat="1">
      <alignment horizontal="center"/>
    </xf>
    <xf borderId="3" fillId="8" fontId="8" numFmtId="0" xfId="0" applyAlignment="1" applyBorder="1" applyFont="1">
      <alignment readingOrder="0"/>
    </xf>
    <xf borderId="3" fillId="8" fontId="2" numFmtId="0" xfId="0" applyAlignment="1" applyBorder="1" applyFont="1">
      <alignment readingOrder="0"/>
    </xf>
    <xf borderId="3" fillId="3" fontId="2" numFmtId="0" xfId="0" applyAlignment="1" applyBorder="1" applyFont="1">
      <alignment readingOrder="0"/>
    </xf>
    <xf borderId="3" fillId="6" fontId="8" numFmtId="0" xfId="0" applyAlignment="1" applyBorder="1" applyFont="1">
      <alignment horizontal="center"/>
    </xf>
    <xf borderId="3" fillId="4" fontId="8" numFmtId="0" xfId="0" applyAlignment="1" applyBorder="1" applyFont="1">
      <alignment readingOrder="0"/>
    </xf>
    <xf borderId="3" fillId="0" fontId="8" numFmtId="0" xfId="0" applyAlignment="1" applyBorder="1" applyFont="1">
      <alignment readingOrder="0"/>
    </xf>
    <xf borderId="0" fillId="0" fontId="10" numFmtId="0" xfId="0" applyFont="1"/>
    <xf borderId="0" fillId="0" fontId="10" numFmtId="0" xfId="0" applyAlignment="1" applyFont="1">
      <alignment readingOrder="0"/>
    </xf>
    <xf borderId="0" fillId="0" fontId="11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13.0"/>
    <col customWidth="1" min="3" max="3" width="6.38"/>
    <col customWidth="1" min="4" max="4" width="14.38"/>
    <col customWidth="1" min="5" max="5" width="8.5"/>
    <col customWidth="1" min="6" max="6" width="8.88"/>
    <col customWidth="1" min="7" max="7" width="12.38"/>
    <col customWidth="1" min="8" max="8" width="7.88"/>
    <col customWidth="1" min="9" max="9" width="11.5"/>
    <col customWidth="1" min="15" max="15" width="10.13"/>
  </cols>
  <sheetData>
    <row r="1" ht="24.75" customHeight="1">
      <c r="A1" s="1" t="s">
        <v>0</v>
      </c>
      <c r="I1" s="2" t="s">
        <v>1</v>
      </c>
      <c r="J1" s="3"/>
      <c r="K1" s="3"/>
      <c r="L1" s="4"/>
      <c r="M1" s="4"/>
      <c r="N1" s="4"/>
      <c r="O1" s="5"/>
    </row>
    <row r="2" ht="16.5" customHeight="1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7" t="str">
        <f>SUM(H4:H67)</f>
        <v>#VALUE!</v>
      </c>
      <c r="J2" s="8"/>
      <c r="K2" s="8"/>
    </row>
    <row r="3">
      <c r="A3" s="9"/>
      <c r="B3" s="9"/>
      <c r="C3" s="9"/>
      <c r="D3" s="9"/>
      <c r="E3" s="9"/>
      <c r="F3" s="9"/>
      <c r="G3" s="9"/>
      <c r="H3" s="9"/>
      <c r="J3" s="8"/>
      <c r="K3" s="8"/>
    </row>
    <row r="4">
      <c r="A4" s="10" t="s">
        <v>10</v>
      </c>
      <c r="B4" s="11">
        <v>45139.0</v>
      </c>
      <c r="C4" s="12" t="s">
        <v>4</v>
      </c>
      <c r="D4" s="10">
        <v>943.0</v>
      </c>
      <c r="E4" s="10">
        <v>185.0</v>
      </c>
      <c r="F4" s="10">
        <v>6.0</v>
      </c>
      <c r="G4" s="10"/>
      <c r="H4" s="13">
        <v>1134.0</v>
      </c>
      <c r="I4" s="14"/>
      <c r="J4" s="15"/>
      <c r="K4" s="15"/>
    </row>
    <row r="5">
      <c r="A5" s="10" t="s">
        <v>10</v>
      </c>
      <c r="B5" s="11">
        <f t="shared" ref="B5:B6" si="1">EDATE(B4,1)</f>
        <v>45170</v>
      </c>
      <c r="C5" s="12" t="s">
        <v>4</v>
      </c>
      <c r="D5" s="10">
        <v>597.0</v>
      </c>
      <c r="E5" s="10">
        <v>241.0</v>
      </c>
      <c r="F5" s="10"/>
      <c r="G5" s="10"/>
      <c r="H5" s="13">
        <v>810.0</v>
      </c>
      <c r="I5" s="14"/>
      <c r="J5" s="15"/>
      <c r="K5" s="15"/>
    </row>
    <row r="6">
      <c r="A6" s="10" t="s">
        <v>10</v>
      </c>
      <c r="B6" s="11">
        <f t="shared" si="1"/>
        <v>45200</v>
      </c>
      <c r="C6" s="12" t="s">
        <v>4</v>
      </c>
      <c r="D6" s="10">
        <v>1142.0</v>
      </c>
      <c r="E6" s="10">
        <v>356.0</v>
      </c>
      <c r="F6" s="10">
        <v>40.0</v>
      </c>
      <c r="G6" s="10">
        <v>1150.0</v>
      </c>
      <c r="H6" s="13">
        <v>2688.0</v>
      </c>
      <c r="I6" s="16"/>
      <c r="J6" s="17"/>
      <c r="K6" s="17"/>
    </row>
    <row r="7">
      <c r="A7" s="10" t="s">
        <v>10</v>
      </c>
      <c r="B7" s="11">
        <v>45231.0</v>
      </c>
      <c r="C7" s="12" t="s">
        <v>4</v>
      </c>
      <c r="D7" s="10">
        <v>1142.0</v>
      </c>
      <c r="E7" s="10">
        <v>1519.0</v>
      </c>
      <c r="F7" s="10"/>
      <c r="G7" s="10">
        <v>1150.0</v>
      </c>
      <c r="H7" s="13">
        <v>3811.0</v>
      </c>
      <c r="I7" s="16"/>
      <c r="J7" s="18"/>
      <c r="K7" s="18"/>
    </row>
    <row r="8">
      <c r="A8" s="10" t="s">
        <v>10</v>
      </c>
      <c r="B8" s="11">
        <v>45261.0</v>
      </c>
      <c r="C8" s="12" t="s">
        <v>4</v>
      </c>
      <c r="D8" s="10">
        <v>981.0</v>
      </c>
      <c r="E8" s="10">
        <v>4469.0</v>
      </c>
      <c r="F8" s="10">
        <v>360.0</v>
      </c>
      <c r="G8" s="10">
        <v>1150.0</v>
      </c>
      <c r="H8" s="13">
        <v>6960.0</v>
      </c>
      <c r="I8" s="19"/>
      <c r="J8" s="18"/>
      <c r="K8" s="18"/>
    </row>
    <row r="9">
      <c r="A9" s="10" t="s">
        <v>10</v>
      </c>
      <c r="B9" s="11">
        <v>45292.0</v>
      </c>
      <c r="C9" s="12" t="s">
        <v>4</v>
      </c>
      <c r="D9" s="20">
        <v>650.0</v>
      </c>
      <c r="E9" s="10">
        <v>2947.0</v>
      </c>
      <c r="F9" s="21"/>
      <c r="G9" s="10">
        <v>1150.0</v>
      </c>
      <c r="H9" s="13">
        <v>4747.0</v>
      </c>
      <c r="I9" s="16"/>
      <c r="J9" s="18"/>
      <c r="K9" s="18"/>
    </row>
    <row r="10">
      <c r="A10" s="10" t="s">
        <v>10</v>
      </c>
      <c r="B10" s="11">
        <v>45323.0</v>
      </c>
      <c r="C10" s="12" t="s">
        <v>4</v>
      </c>
      <c r="D10" s="20">
        <v>650.0</v>
      </c>
      <c r="E10" s="10">
        <v>6820.0</v>
      </c>
      <c r="F10" s="10">
        <v>400.0</v>
      </c>
      <c r="G10" s="10">
        <v>1150.0</v>
      </c>
      <c r="H10" s="13">
        <v>9064.0</v>
      </c>
      <c r="I10" s="19"/>
      <c r="J10" s="18"/>
      <c r="K10" s="18"/>
    </row>
    <row r="11">
      <c r="A11" s="10" t="s">
        <v>10</v>
      </c>
      <c r="B11" s="11">
        <v>45352.0</v>
      </c>
      <c r="C11" s="12" t="s">
        <v>4</v>
      </c>
      <c r="D11" s="20">
        <v>848.0</v>
      </c>
      <c r="E11" s="10">
        <v>1688.0</v>
      </c>
      <c r="F11" s="21"/>
      <c r="G11" s="10">
        <v>1150.0</v>
      </c>
      <c r="H11" s="13">
        <v>3686.0</v>
      </c>
      <c r="I11" s="19"/>
      <c r="J11" s="18"/>
      <c r="K11" s="18"/>
    </row>
    <row r="12">
      <c r="A12" s="10" t="s">
        <v>10</v>
      </c>
      <c r="B12" s="11">
        <v>45383.0</v>
      </c>
      <c r="C12" s="12" t="s">
        <v>4</v>
      </c>
      <c r="D12" s="20">
        <v>642.0</v>
      </c>
      <c r="E12" s="10">
        <v>1777.0</v>
      </c>
      <c r="F12" s="10">
        <v>400.0</v>
      </c>
      <c r="G12" s="20">
        <v>1150.0</v>
      </c>
      <c r="H12" s="13">
        <f t="shared" ref="H12:H20" si="2">D12 + E12 + F12 + G12</f>
        <v>3969</v>
      </c>
      <c r="I12" s="16"/>
      <c r="J12" s="18"/>
      <c r="K12" s="18"/>
    </row>
    <row r="13">
      <c r="A13" s="10" t="s">
        <v>10</v>
      </c>
      <c r="B13" s="11">
        <v>45413.0</v>
      </c>
      <c r="C13" s="12" t="s">
        <v>4</v>
      </c>
      <c r="D13" s="20">
        <v>675.0</v>
      </c>
      <c r="E13" s="10">
        <v>1178.0</v>
      </c>
      <c r="F13" s="10"/>
      <c r="G13" s="20">
        <v>1150.0</v>
      </c>
      <c r="H13" s="13">
        <f t="shared" si="2"/>
        <v>3003</v>
      </c>
      <c r="I13" s="19"/>
      <c r="J13" s="22"/>
      <c r="K13" s="18"/>
    </row>
    <row r="14">
      <c r="A14" s="10" t="s">
        <v>10</v>
      </c>
      <c r="B14" s="11">
        <v>45444.0</v>
      </c>
      <c r="C14" s="12" t="s">
        <v>4</v>
      </c>
      <c r="D14" s="20">
        <v>858.0</v>
      </c>
      <c r="E14" s="10">
        <v>1160.0</v>
      </c>
      <c r="F14" s="10">
        <v>200.0</v>
      </c>
      <c r="G14" s="20">
        <v>1150.0</v>
      </c>
      <c r="H14" s="13">
        <f t="shared" si="2"/>
        <v>3368</v>
      </c>
      <c r="I14" s="19"/>
      <c r="J14" s="18"/>
      <c r="K14" s="18"/>
    </row>
    <row r="15">
      <c r="A15" s="10" t="s">
        <v>10</v>
      </c>
      <c r="B15" s="11">
        <v>45474.0</v>
      </c>
      <c r="C15" s="12" t="s">
        <v>4</v>
      </c>
      <c r="D15" s="20">
        <v>966.0</v>
      </c>
      <c r="E15" s="10">
        <v>901.0</v>
      </c>
      <c r="F15" s="10"/>
      <c r="G15" s="20">
        <v>1150.0</v>
      </c>
      <c r="H15" s="13">
        <f t="shared" si="2"/>
        <v>3017</v>
      </c>
      <c r="I15" s="19"/>
      <c r="J15" s="18"/>
      <c r="K15" s="18"/>
    </row>
    <row r="16">
      <c r="A16" s="10" t="s">
        <v>10</v>
      </c>
      <c r="B16" s="11">
        <v>45505.0</v>
      </c>
      <c r="C16" s="12" t="s">
        <v>4</v>
      </c>
      <c r="D16" s="20">
        <v>641.0</v>
      </c>
      <c r="E16" s="10">
        <v>933.0</v>
      </c>
      <c r="F16" s="10"/>
      <c r="G16" s="20">
        <v>1150.0</v>
      </c>
      <c r="H16" s="13">
        <f t="shared" si="2"/>
        <v>2724</v>
      </c>
      <c r="I16" s="19"/>
      <c r="J16" s="18"/>
      <c r="K16" s="18"/>
    </row>
    <row r="17">
      <c r="A17" s="10" t="s">
        <v>10</v>
      </c>
      <c r="B17" s="11">
        <v>45536.0</v>
      </c>
      <c r="C17" s="12" t="s">
        <v>4</v>
      </c>
      <c r="D17" s="20">
        <v>679.0</v>
      </c>
      <c r="E17" s="10">
        <v>2977.0</v>
      </c>
      <c r="F17" s="10">
        <v>597.0</v>
      </c>
      <c r="G17" s="20">
        <v>1150.0</v>
      </c>
      <c r="H17" s="13">
        <f t="shared" si="2"/>
        <v>5403</v>
      </c>
      <c r="I17" s="19"/>
      <c r="J17" s="18"/>
      <c r="K17" s="18"/>
    </row>
    <row r="18">
      <c r="A18" s="10" t="s">
        <v>10</v>
      </c>
      <c r="B18" s="11">
        <v>45566.0</v>
      </c>
      <c r="C18" s="12" t="s">
        <v>4</v>
      </c>
      <c r="D18" s="20">
        <v>691.0</v>
      </c>
      <c r="E18" s="10">
        <v>821.0</v>
      </c>
      <c r="F18" s="10">
        <v>237.0</v>
      </c>
      <c r="G18" s="20">
        <v>1150.0</v>
      </c>
      <c r="H18" s="13">
        <f t="shared" si="2"/>
        <v>2899</v>
      </c>
      <c r="I18" s="19"/>
      <c r="J18" s="18"/>
      <c r="K18" s="18"/>
    </row>
    <row r="19">
      <c r="A19" s="10" t="s">
        <v>10</v>
      </c>
      <c r="B19" s="11">
        <v>45597.0</v>
      </c>
      <c r="C19" s="12" t="s">
        <v>4</v>
      </c>
      <c r="D19" s="20">
        <v>735.0</v>
      </c>
      <c r="E19" s="10">
        <v>1757.0</v>
      </c>
      <c r="F19" s="10"/>
      <c r="G19" s="20">
        <v>1150.0</v>
      </c>
      <c r="H19" s="13">
        <f t="shared" si="2"/>
        <v>3642</v>
      </c>
      <c r="I19" s="19"/>
      <c r="J19" s="18"/>
      <c r="K19" s="18"/>
    </row>
    <row r="20">
      <c r="A20" s="10" t="s">
        <v>10</v>
      </c>
      <c r="B20" s="11">
        <v>45627.0</v>
      </c>
      <c r="C20" s="12" t="s">
        <v>4</v>
      </c>
      <c r="D20" s="10">
        <v>605.0</v>
      </c>
      <c r="E20" s="10">
        <v>2830.0</v>
      </c>
      <c r="F20" s="10">
        <v>237.0</v>
      </c>
      <c r="G20" s="20">
        <v>1150.0</v>
      </c>
      <c r="H20" s="13">
        <f t="shared" si="2"/>
        <v>4822</v>
      </c>
      <c r="I20" s="19"/>
      <c r="J20" s="18"/>
      <c r="K20" s="18"/>
    </row>
    <row r="21">
      <c r="A21" s="23"/>
      <c r="B21" s="23"/>
      <c r="C21" s="23"/>
      <c r="D21" s="23"/>
      <c r="E21" s="23"/>
      <c r="F21" s="23"/>
      <c r="G21" s="23"/>
      <c r="H21" s="23"/>
      <c r="I21" s="19"/>
      <c r="J21" s="18"/>
      <c r="K21" s="18"/>
    </row>
    <row r="22">
      <c r="A22" s="10" t="s">
        <v>10</v>
      </c>
      <c r="B22" s="11">
        <v>45658.0</v>
      </c>
      <c r="C22" s="12" t="s">
        <v>4</v>
      </c>
      <c r="D22" s="10">
        <v>772.0</v>
      </c>
      <c r="E22" s="10">
        <v>2886.0</v>
      </c>
      <c r="F22" s="10">
        <v>517.0</v>
      </c>
      <c r="G22" s="20">
        <v>1150.0</v>
      </c>
      <c r="H22" s="13">
        <f t="shared" ref="H22:H28" si="3">D22 + E22 + F22 + G22</f>
        <v>5325</v>
      </c>
      <c r="I22" s="19"/>
      <c r="J22" s="18"/>
      <c r="K22" s="18"/>
    </row>
    <row r="23">
      <c r="A23" s="10" t="s">
        <v>10</v>
      </c>
      <c r="B23" s="11">
        <v>45689.0</v>
      </c>
      <c r="C23" s="12" t="s">
        <v>4</v>
      </c>
      <c r="D23" s="10">
        <v>696.0</v>
      </c>
      <c r="E23" s="10">
        <v>3899.0</v>
      </c>
      <c r="F23" s="10">
        <v>237.0</v>
      </c>
      <c r="G23" s="20">
        <v>1150.0</v>
      </c>
      <c r="H23" s="13">
        <f t="shared" si="3"/>
        <v>5982</v>
      </c>
      <c r="I23" s="19"/>
      <c r="J23" s="18"/>
      <c r="K23" s="18"/>
    </row>
    <row r="24">
      <c r="A24" s="10" t="s">
        <v>10</v>
      </c>
      <c r="B24" s="11">
        <v>45717.0</v>
      </c>
      <c r="C24" s="12" t="s">
        <v>4</v>
      </c>
      <c r="D24" s="10">
        <v>752.0</v>
      </c>
      <c r="E24" s="10">
        <v>3687.0</v>
      </c>
      <c r="F24" s="10">
        <v>597.0</v>
      </c>
      <c r="G24" s="20">
        <v>1150.0</v>
      </c>
      <c r="H24" s="13">
        <f t="shared" si="3"/>
        <v>6186</v>
      </c>
      <c r="I24" s="19"/>
      <c r="J24" s="18"/>
      <c r="K24" s="18"/>
    </row>
    <row r="25">
      <c r="A25" s="10" t="s">
        <v>10</v>
      </c>
      <c r="B25" s="11">
        <v>45748.0</v>
      </c>
      <c r="C25" s="12" t="s">
        <v>4</v>
      </c>
      <c r="D25" s="10">
        <v>596.0</v>
      </c>
      <c r="E25" s="10">
        <v>3311.0</v>
      </c>
      <c r="F25" s="10">
        <v>0.0</v>
      </c>
      <c r="G25" s="20">
        <v>1150.0</v>
      </c>
      <c r="H25" s="13">
        <f t="shared" si="3"/>
        <v>5057</v>
      </c>
      <c r="I25" s="19"/>
      <c r="J25" s="18"/>
      <c r="K25" s="18"/>
    </row>
    <row r="26">
      <c r="A26" s="10" t="s">
        <v>10</v>
      </c>
      <c r="B26" s="11">
        <v>45778.0</v>
      </c>
      <c r="C26" s="12" t="s">
        <v>4</v>
      </c>
      <c r="D26" s="10">
        <v>905.0</v>
      </c>
      <c r="E26" s="10">
        <v>2302.0</v>
      </c>
      <c r="F26" s="10">
        <v>557.0</v>
      </c>
      <c r="G26" s="20">
        <v>1150.0</v>
      </c>
      <c r="H26" s="13">
        <f t="shared" si="3"/>
        <v>4914</v>
      </c>
      <c r="I26" s="19"/>
      <c r="J26" s="18"/>
      <c r="K26" s="18"/>
    </row>
    <row r="27">
      <c r="A27" s="10" t="s">
        <v>10</v>
      </c>
      <c r="B27" s="11">
        <v>45809.0</v>
      </c>
      <c r="C27" s="12" t="s">
        <v>4</v>
      </c>
      <c r="D27" s="10">
        <v>670.0</v>
      </c>
      <c r="E27" s="10">
        <v>2061.0</v>
      </c>
      <c r="F27" s="10">
        <v>237.0</v>
      </c>
      <c r="G27" s="20">
        <v>1150.0</v>
      </c>
      <c r="H27" s="13">
        <f t="shared" si="3"/>
        <v>4118</v>
      </c>
      <c r="I27" s="19"/>
      <c r="J27" s="18"/>
      <c r="K27" s="18"/>
    </row>
    <row r="28">
      <c r="A28" s="24" t="s">
        <v>10</v>
      </c>
      <c r="B28" s="11">
        <v>45839.0</v>
      </c>
      <c r="C28" s="12" t="s">
        <v>4</v>
      </c>
      <c r="D28" s="12" t="s">
        <v>11</v>
      </c>
      <c r="E28" s="10">
        <v>2545.0</v>
      </c>
      <c r="F28" s="25">
        <v>237.0</v>
      </c>
      <c r="G28" s="20">
        <v>1150.0</v>
      </c>
      <c r="H28" s="13" t="str">
        <f t="shared" si="3"/>
        <v>#VALUE!</v>
      </c>
      <c r="I28" s="19"/>
      <c r="J28" s="18"/>
      <c r="K28" s="18"/>
    </row>
    <row r="29">
      <c r="A29" s="26"/>
      <c r="B29" s="27">
        <f t="shared" ref="B29:B47" si="4">EDATE(B28,1)</f>
        <v>45870</v>
      </c>
      <c r="C29" s="12" t="s">
        <v>4</v>
      </c>
      <c r="D29" s="12" t="s">
        <v>12</v>
      </c>
      <c r="E29" s="12">
        <v>2237.0</v>
      </c>
      <c r="F29" s="25">
        <v>237.0</v>
      </c>
      <c r="G29" s="20">
        <v>1150.0</v>
      </c>
      <c r="H29" s="26"/>
      <c r="I29" s="19"/>
      <c r="J29" s="18"/>
      <c r="K29" s="18"/>
    </row>
    <row r="30">
      <c r="A30" s="26"/>
      <c r="B30" s="27">
        <f t="shared" si="4"/>
        <v>45901</v>
      </c>
      <c r="C30" s="12" t="s">
        <v>4</v>
      </c>
      <c r="D30" s="12" t="s">
        <v>13</v>
      </c>
      <c r="E30" s="12">
        <v>1559.0</v>
      </c>
      <c r="F30" s="25">
        <v>799.0</v>
      </c>
      <c r="G30" s="20">
        <v>1150.0</v>
      </c>
      <c r="H30" s="26"/>
      <c r="I30" s="19"/>
      <c r="J30" s="18"/>
      <c r="K30" s="18"/>
    </row>
    <row r="31">
      <c r="A31" s="26"/>
      <c r="B31" s="27">
        <f t="shared" si="4"/>
        <v>45931</v>
      </c>
      <c r="C31" s="12" t="s">
        <v>4</v>
      </c>
      <c r="D31" s="12" t="s">
        <v>14</v>
      </c>
      <c r="E31" s="12">
        <v>2222.0</v>
      </c>
      <c r="F31" s="25">
        <v>237.0</v>
      </c>
      <c r="G31" s="20">
        <v>1150.0</v>
      </c>
      <c r="H31" s="26"/>
      <c r="I31" s="19"/>
      <c r="J31" s="18"/>
      <c r="K31" s="18"/>
    </row>
    <row r="32">
      <c r="A32" s="26"/>
      <c r="B32" s="27">
        <f t="shared" si="4"/>
        <v>45962</v>
      </c>
      <c r="C32" s="12" t="s">
        <v>4</v>
      </c>
      <c r="D32" s="12" t="s">
        <v>15</v>
      </c>
      <c r="E32" s="12">
        <v>2223.0</v>
      </c>
      <c r="F32" s="25">
        <v>501.0</v>
      </c>
      <c r="G32" s="20">
        <v>1150.0</v>
      </c>
      <c r="H32" s="26"/>
      <c r="I32" s="19"/>
      <c r="J32" s="18"/>
      <c r="K32" s="18"/>
    </row>
    <row r="33">
      <c r="A33" s="26"/>
      <c r="B33" s="27">
        <f t="shared" si="4"/>
        <v>45992</v>
      </c>
      <c r="C33" s="12" t="s">
        <v>4</v>
      </c>
      <c r="D33" s="12" t="s">
        <v>16</v>
      </c>
      <c r="E33" s="12">
        <v>3470.0</v>
      </c>
      <c r="F33" s="25">
        <v>237.0</v>
      </c>
      <c r="G33" s="20">
        <v>1150.0</v>
      </c>
      <c r="H33" s="26"/>
      <c r="I33" s="19"/>
      <c r="J33" s="18"/>
      <c r="K33" s="18"/>
    </row>
    <row r="34">
      <c r="A34" s="26"/>
      <c r="B34" s="27">
        <f t="shared" si="4"/>
        <v>46023</v>
      </c>
      <c r="C34" s="12" t="s">
        <v>4</v>
      </c>
      <c r="D34" s="12" t="s">
        <v>17</v>
      </c>
      <c r="E34" s="12">
        <v>4293.0</v>
      </c>
      <c r="F34" s="25">
        <v>635.0</v>
      </c>
      <c r="G34" s="20">
        <v>1150.0</v>
      </c>
      <c r="H34" s="26"/>
      <c r="I34" s="19"/>
      <c r="J34" s="18"/>
      <c r="K34" s="18"/>
    </row>
    <row r="35">
      <c r="A35" s="26"/>
      <c r="B35" s="27">
        <f t="shared" si="4"/>
        <v>46054</v>
      </c>
      <c r="C35" s="12" t="s">
        <v>4</v>
      </c>
      <c r="D35" s="12" t="s">
        <v>17</v>
      </c>
      <c r="E35" s="12">
        <v>3450.0</v>
      </c>
      <c r="F35" s="25">
        <v>238.0</v>
      </c>
      <c r="G35" s="20">
        <v>1150.0</v>
      </c>
      <c r="H35" s="26"/>
      <c r="I35" s="19"/>
      <c r="J35" s="18"/>
      <c r="K35" s="18"/>
    </row>
    <row r="36">
      <c r="A36" s="26"/>
      <c r="B36" s="27">
        <f t="shared" si="4"/>
        <v>46082</v>
      </c>
      <c r="C36" s="12" t="s">
        <v>4</v>
      </c>
      <c r="D36" s="12" t="s">
        <v>18</v>
      </c>
      <c r="E36" s="12">
        <v>3066.0</v>
      </c>
      <c r="F36" s="25">
        <v>643.0</v>
      </c>
      <c r="G36" s="20">
        <v>1150.0</v>
      </c>
      <c r="H36" s="26"/>
      <c r="I36" s="19"/>
      <c r="J36" s="18"/>
      <c r="K36" s="18"/>
    </row>
    <row r="37">
      <c r="A37" s="26"/>
      <c r="B37" s="27">
        <f t="shared" si="4"/>
        <v>46113</v>
      </c>
      <c r="C37" s="12" t="s">
        <v>4</v>
      </c>
      <c r="D37" s="12" t="s">
        <v>19</v>
      </c>
      <c r="E37" s="12">
        <v>3374.0</v>
      </c>
      <c r="F37" s="25">
        <v>237.0</v>
      </c>
      <c r="G37" s="20">
        <v>1150.0</v>
      </c>
      <c r="H37" s="26"/>
      <c r="I37" s="19"/>
      <c r="J37" s="18"/>
      <c r="K37" s="18"/>
    </row>
    <row r="38">
      <c r="A38" s="26"/>
      <c r="B38" s="28">
        <f t="shared" si="4"/>
        <v>46143</v>
      </c>
      <c r="C38" s="29" t="s">
        <v>4</v>
      </c>
      <c r="D38" s="29" t="s">
        <v>20</v>
      </c>
      <c r="E38" s="29">
        <v>1769.0</v>
      </c>
      <c r="F38" s="29">
        <v>237.0</v>
      </c>
      <c r="G38" s="30">
        <v>1150.0</v>
      </c>
      <c r="H38" s="26"/>
      <c r="I38" s="19"/>
      <c r="J38" s="18"/>
      <c r="K38" s="18"/>
    </row>
    <row r="39">
      <c r="A39" s="26"/>
      <c r="B39" s="27">
        <f t="shared" si="4"/>
        <v>46174</v>
      </c>
      <c r="C39" s="12" t="s">
        <v>4</v>
      </c>
      <c r="D39" s="12"/>
      <c r="E39" s="26"/>
      <c r="F39" s="12"/>
      <c r="G39" s="31"/>
      <c r="H39" s="26"/>
      <c r="I39" s="19"/>
      <c r="J39" s="18"/>
      <c r="K39" s="18"/>
    </row>
    <row r="40">
      <c r="A40" s="26"/>
      <c r="B40" s="27">
        <f t="shared" si="4"/>
        <v>46204</v>
      </c>
      <c r="C40" s="12" t="s">
        <v>4</v>
      </c>
      <c r="D40" s="26"/>
      <c r="E40" s="26"/>
      <c r="F40" s="26"/>
      <c r="G40" s="26"/>
      <c r="H40" s="26"/>
      <c r="I40" s="19"/>
      <c r="J40" s="18"/>
      <c r="K40" s="18"/>
    </row>
    <row r="41">
      <c r="A41" s="26"/>
      <c r="B41" s="27">
        <f t="shared" si="4"/>
        <v>46235</v>
      </c>
      <c r="C41" s="12" t="s">
        <v>4</v>
      </c>
      <c r="D41" s="26"/>
      <c r="E41" s="26"/>
      <c r="F41" s="26"/>
      <c r="G41" s="26"/>
      <c r="H41" s="26"/>
      <c r="I41" s="19"/>
      <c r="J41" s="18"/>
      <c r="K41" s="18"/>
    </row>
    <row r="42">
      <c r="A42" s="26"/>
      <c r="B42" s="27">
        <f t="shared" si="4"/>
        <v>46266</v>
      </c>
      <c r="C42" s="12" t="s">
        <v>4</v>
      </c>
      <c r="D42" s="26"/>
      <c r="E42" s="26"/>
      <c r="F42" s="26"/>
      <c r="G42" s="26"/>
      <c r="H42" s="26"/>
      <c r="I42" s="19"/>
      <c r="J42" s="18"/>
      <c r="K42" s="18"/>
    </row>
    <row r="43">
      <c r="A43" s="26"/>
      <c r="B43" s="27">
        <f t="shared" si="4"/>
        <v>46296</v>
      </c>
      <c r="C43" s="12" t="s">
        <v>4</v>
      </c>
      <c r="D43" s="26"/>
      <c r="E43" s="26"/>
      <c r="F43" s="26"/>
      <c r="G43" s="26"/>
      <c r="H43" s="26"/>
      <c r="I43" s="19"/>
      <c r="J43" s="18"/>
      <c r="K43" s="18"/>
    </row>
    <row r="44">
      <c r="A44" s="26"/>
      <c r="B44" s="27">
        <f t="shared" si="4"/>
        <v>46327</v>
      </c>
      <c r="C44" s="12" t="s">
        <v>4</v>
      </c>
      <c r="D44" s="26"/>
      <c r="E44" s="26"/>
      <c r="F44" s="26"/>
      <c r="G44" s="26"/>
      <c r="H44" s="26"/>
      <c r="I44" s="19"/>
      <c r="J44" s="18"/>
      <c r="K44" s="18"/>
    </row>
    <row r="45">
      <c r="A45" s="26"/>
      <c r="B45" s="27">
        <f t="shared" si="4"/>
        <v>46357</v>
      </c>
      <c r="C45" s="12" t="s">
        <v>4</v>
      </c>
      <c r="D45" s="26"/>
      <c r="E45" s="26"/>
      <c r="F45" s="26"/>
      <c r="G45" s="26"/>
      <c r="H45" s="26"/>
      <c r="I45" s="19"/>
      <c r="J45" s="18"/>
      <c r="K45" s="18"/>
    </row>
    <row r="46">
      <c r="A46" s="26"/>
      <c r="B46" s="27">
        <f t="shared" si="4"/>
        <v>46388</v>
      </c>
      <c r="C46" s="12" t="s">
        <v>4</v>
      </c>
      <c r="D46" s="26"/>
      <c r="E46" s="26"/>
      <c r="F46" s="26"/>
      <c r="G46" s="26"/>
      <c r="H46" s="26"/>
      <c r="I46" s="19"/>
      <c r="J46" s="18"/>
      <c r="K46" s="18"/>
    </row>
    <row r="47">
      <c r="A47" s="26"/>
      <c r="B47" s="27">
        <f t="shared" si="4"/>
        <v>46419</v>
      </c>
      <c r="C47" s="12" t="s">
        <v>4</v>
      </c>
      <c r="D47" s="26"/>
      <c r="E47" s="26"/>
      <c r="F47" s="26"/>
      <c r="G47" s="26"/>
      <c r="H47" s="26"/>
      <c r="I47" s="19"/>
      <c r="J47" s="18"/>
      <c r="K47" s="18"/>
    </row>
    <row r="48">
      <c r="A48" s="26"/>
      <c r="B48" s="32"/>
      <c r="C48" s="12"/>
      <c r="D48" s="26"/>
      <c r="E48" s="26"/>
      <c r="F48" s="26"/>
      <c r="G48" s="26"/>
      <c r="H48" s="26"/>
      <c r="I48" s="19"/>
      <c r="J48" s="18"/>
      <c r="K48" s="18"/>
    </row>
    <row r="49">
      <c r="A49" s="26"/>
      <c r="B49" s="32"/>
      <c r="C49" s="12"/>
      <c r="D49" s="26"/>
      <c r="E49" s="26"/>
      <c r="F49" s="26"/>
      <c r="G49" s="26"/>
      <c r="H49" s="26"/>
      <c r="I49" s="19"/>
      <c r="J49" s="18"/>
      <c r="K49" s="18"/>
    </row>
    <row r="50">
      <c r="A50" s="26"/>
      <c r="B50" s="32"/>
      <c r="C50" s="12"/>
      <c r="D50" s="26"/>
      <c r="E50" s="26"/>
      <c r="F50" s="26"/>
      <c r="G50" s="26"/>
      <c r="H50" s="26"/>
      <c r="I50" s="19"/>
      <c r="J50" s="18"/>
      <c r="K50" s="18"/>
    </row>
    <row r="51">
      <c r="A51" s="26"/>
      <c r="B51" s="32"/>
      <c r="C51" s="12"/>
      <c r="D51" s="26"/>
      <c r="E51" s="26"/>
      <c r="F51" s="26"/>
      <c r="G51" s="26"/>
      <c r="H51" s="26"/>
      <c r="I51" s="19"/>
      <c r="J51" s="18"/>
      <c r="K51" s="18"/>
    </row>
    <row r="52">
      <c r="A52" s="26"/>
      <c r="B52" s="32"/>
      <c r="C52" s="12"/>
      <c r="D52" s="26"/>
      <c r="E52" s="26"/>
      <c r="F52" s="26"/>
      <c r="G52" s="26"/>
      <c r="H52" s="26"/>
      <c r="I52" s="19"/>
      <c r="J52" s="18"/>
      <c r="K52" s="18"/>
    </row>
    <row r="53">
      <c r="A53" s="26"/>
      <c r="B53" s="32"/>
      <c r="C53" s="12"/>
      <c r="D53" s="26"/>
      <c r="E53" s="26"/>
      <c r="F53" s="26"/>
      <c r="G53" s="26"/>
      <c r="H53" s="26"/>
      <c r="I53" s="19"/>
      <c r="J53" s="18"/>
      <c r="K53" s="18"/>
    </row>
    <row r="54">
      <c r="A54" s="26"/>
      <c r="B54" s="32"/>
      <c r="C54" s="12"/>
      <c r="D54" s="26"/>
      <c r="E54" s="26"/>
      <c r="F54" s="26"/>
      <c r="G54" s="26"/>
      <c r="H54" s="26"/>
      <c r="I54" s="19"/>
      <c r="J54" s="18"/>
      <c r="K54" s="18"/>
    </row>
    <row r="55">
      <c r="A55" s="26"/>
      <c r="B55" s="32"/>
      <c r="C55" s="12"/>
      <c r="D55" s="26"/>
      <c r="E55" s="26"/>
      <c r="F55" s="26"/>
      <c r="G55" s="26"/>
      <c r="H55" s="26"/>
      <c r="I55" s="19"/>
      <c r="J55" s="18"/>
      <c r="K55" s="18"/>
    </row>
    <row r="56">
      <c r="A56" s="26"/>
      <c r="B56" s="32"/>
      <c r="C56" s="12"/>
      <c r="D56" s="26"/>
      <c r="E56" s="26"/>
      <c r="F56" s="26"/>
      <c r="G56" s="26"/>
      <c r="H56" s="26"/>
      <c r="I56" s="19"/>
      <c r="J56" s="18"/>
      <c r="K56" s="18"/>
    </row>
    <row r="57">
      <c r="A57" s="26"/>
      <c r="B57" s="32"/>
      <c r="C57" s="12"/>
      <c r="D57" s="26"/>
      <c r="E57" s="26"/>
      <c r="F57" s="26"/>
      <c r="G57" s="26"/>
      <c r="H57" s="26"/>
      <c r="I57" s="19"/>
      <c r="J57" s="18"/>
      <c r="K57" s="18"/>
    </row>
    <row r="58">
      <c r="A58" s="26"/>
      <c r="B58" s="32"/>
      <c r="C58" s="12"/>
      <c r="D58" s="26"/>
      <c r="E58" s="26"/>
      <c r="F58" s="26"/>
      <c r="G58" s="26"/>
      <c r="H58" s="26"/>
      <c r="I58" s="19"/>
      <c r="J58" s="18"/>
      <c r="K58" s="18"/>
    </row>
    <row r="59">
      <c r="A59" s="26"/>
      <c r="B59" s="32"/>
      <c r="C59" s="12"/>
      <c r="D59" s="26"/>
      <c r="E59" s="26"/>
      <c r="F59" s="26"/>
      <c r="G59" s="26"/>
      <c r="H59" s="26"/>
      <c r="I59" s="19"/>
      <c r="J59" s="18"/>
      <c r="K59" s="18"/>
    </row>
    <row r="60">
      <c r="A60" s="26"/>
      <c r="B60" s="32"/>
      <c r="C60" s="12"/>
      <c r="D60" s="26"/>
      <c r="E60" s="26"/>
      <c r="F60" s="26"/>
      <c r="G60" s="26"/>
      <c r="H60" s="26"/>
      <c r="I60" s="19"/>
      <c r="J60" s="18"/>
      <c r="K60" s="18"/>
    </row>
    <row r="61">
      <c r="A61" s="26"/>
      <c r="B61" s="32"/>
      <c r="C61" s="12"/>
      <c r="D61" s="26"/>
      <c r="E61" s="26"/>
      <c r="F61" s="26"/>
      <c r="G61" s="26"/>
      <c r="H61" s="26"/>
      <c r="I61" s="19"/>
      <c r="J61" s="18"/>
      <c r="K61" s="18"/>
    </row>
    <row r="62">
      <c r="A62" s="26"/>
      <c r="B62" s="32"/>
      <c r="C62" s="12"/>
      <c r="D62" s="26"/>
      <c r="E62" s="26"/>
      <c r="F62" s="26"/>
      <c r="G62" s="26"/>
      <c r="H62" s="26"/>
      <c r="I62" s="19"/>
      <c r="J62" s="18"/>
      <c r="K62" s="18"/>
    </row>
    <row r="63">
      <c r="A63" s="26"/>
      <c r="B63" s="32"/>
      <c r="C63" s="12"/>
      <c r="D63" s="26"/>
      <c r="E63" s="26"/>
      <c r="F63" s="26"/>
      <c r="G63" s="26"/>
      <c r="H63" s="26"/>
      <c r="I63" s="19"/>
      <c r="J63" s="18"/>
      <c r="K63" s="18"/>
    </row>
    <row r="64">
      <c r="A64" s="26"/>
      <c r="B64" s="32"/>
      <c r="C64" s="12"/>
      <c r="D64" s="26"/>
      <c r="E64" s="26"/>
      <c r="F64" s="26"/>
      <c r="G64" s="26"/>
      <c r="H64" s="26"/>
      <c r="I64" s="19"/>
      <c r="J64" s="18"/>
      <c r="K64" s="18"/>
    </row>
    <row r="65">
      <c r="A65" s="26"/>
      <c r="B65" s="32"/>
      <c r="C65" s="12"/>
      <c r="D65" s="26"/>
      <c r="E65" s="26"/>
      <c r="F65" s="26"/>
      <c r="G65" s="26"/>
      <c r="H65" s="26"/>
      <c r="I65" s="19"/>
      <c r="J65" s="18"/>
      <c r="K65" s="18"/>
    </row>
    <row r="66">
      <c r="A66" s="26"/>
      <c r="B66" s="32"/>
      <c r="C66" s="12"/>
      <c r="D66" s="26"/>
      <c r="E66" s="26"/>
      <c r="F66" s="26"/>
      <c r="G66" s="26"/>
      <c r="H66" s="26"/>
      <c r="I66" s="19"/>
      <c r="J66" s="18"/>
      <c r="K66" s="18"/>
    </row>
    <row r="67">
      <c r="A67" s="26"/>
      <c r="B67" s="32"/>
      <c r="C67" s="12"/>
      <c r="D67" s="26"/>
      <c r="E67" s="26"/>
      <c r="F67" s="26"/>
      <c r="G67" s="26"/>
      <c r="H67" s="26"/>
      <c r="I67" s="19"/>
      <c r="J67" s="18"/>
      <c r="K67" s="18"/>
    </row>
    <row r="68">
      <c r="A68" s="19"/>
      <c r="B68" s="16"/>
      <c r="C68" s="19"/>
      <c r="D68" s="19"/>
      <c r="E68" s="19"/>
      <c r="F68" s="19"/>
      <c r="G68" s="33" t="s">
        <v>1</v>
      </c>
      <c r="H68" s="34" t="str">
        <f>SUM(H4:H67)</f>
        <v>#VALUE!</v>
      </c>
      <c r="I68" s="19"/>
    </row>
    <row r="69">
      <c r="A69" s="35"/>
      <c r="B69" s="36"/>
      <c r="C69" s="35"/>
      <c r="D69" s="35"/>
      <c r="E69" s="35"/>
      <c r="F69" s="35"/>
      <c r="G69" s="35"/>
      <c r="H69" s="35"/>
      <c r="I69" s="35"/>
    </row>
    <row r="70">
      <c r="B70" s="37"/>
    </row>
    <row r="71">
      <c r="B71" s="37"/>
    </row>
    <row r="72">
      <c r="B72" s="37"/>
    </row>
    <row r="73">
      <c r="B73" s="37"/>
    </row>
    <row r="74">
      <c r="B74" s="37"/>
    </row>
    <row r="75">
      <c r="B75" s="37"/>
    </row>
    <row r="76">
      <c r="B76" s="37"/>
    </row>
    <row r="77">
      <c r="B77" s="37"/>
    </row>
  </sheetData>
  <customSheetViews>
    <customSheetView guid="{134D47BF-0898-4070-9204-A3BD4F99F7B9}" filter="1" showAutoFilter="1">
      <autoFilter ref="$I$7"/>
    </customSheetView>
  </customSheetViews>
  <mergeCells count="11">
    <mergeCell ref="F2:F3"/>
    <mergeCell ref="G2:G3"/>
    <mergeCell ref="H2:H3"/>
    <mergeCell ref="I2:I3"/>
    <mergeCell ref="A1:H1"/>
    <mergeCell ref="O1:Q1"/>
    <mergeCell ref="A2:A3"/>
    <mergeCell ref="B2:B3"/>
    <mergeCell ref="C2:C3"/>
    <mergeCell ref="D2:D3"/>
    <mergeCell ref="E2:E3"/>
  </mergeCells>
  <conditionalFormatting sqref="I1:K22">
    <cfRule type="notContainsBlanks" dxfId="0" priority="1">
      <formula>LEN(TRIM(I1))&gt;0</formula>
    </cfRule>
  </conditionalFormatting>
  <drawing r:id="rId1"/>
</worksheet>
</file>